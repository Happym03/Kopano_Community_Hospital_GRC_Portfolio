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Gap Assessmen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<sst xmlns="http://schemas.openxmlformats.org/spreadsheetml/2006/main" count="220" uniqueCount="140">
  <si>
    <t xml:space="preserve">Kopano Community Hospital — ISO/IEC 27001:2022 Gap Assessment</t>
  </si>
  <si>
    <t xml:space="preserve">FICTIONAL ORGANISATION — this document is part of a fictional hospital GRC portfolio project</t>
  </si>
  <si>
    <t xml:space="preserve">and is not an assessment of any real facility.</t>
  </si>
  <si>
    <t xml:space="preserve">Scope: The Information Security Management System (ISMS) scope for this assessment is the</t>
  </si>
  <si>
    <t xml:space="preserve">clinical information environment at Kopano Community Hospital — the EHR, LIS, PACS, pharmacy</t>
  </si>
  <si>
    <t xml:space="preserve">dispensing system, the biomedical device network, and supporting IT infrastructure.</t>
  </si>
  <si>
    <t xml:space="preserve">Methodology: Each control in ISO/IEC 27001:2022 Annex A is assessed against current-state</t>
  </si>
  <si>
    <t xml:space="preserve">evidence and rated Implemented, Partially Implemented, or Not Implemented, with a priority</t>
  </si>
  <si>
    <t xml:space="preserve">and target date assigned to any gap. This is a representative subset of Annex A controls</t>
  </si>
  <si>
    <t xml:space="preserve">selected for portfolio purposes, grouped under the four 2022 themes (Organisational, People,</t>
  </si>
  <si>
    <t xml:space="preserve">Physical, Technological).</t>
  </si>
  <si>
    <t xml:space="preserve">Status colour key: Green = Implemented, Amber = Partially Implemented, Red = Not Implemented.</t>
  </si>
  <si>
    <t xml:space="preserve">Cross-references: Gaps identified here map to risks in 02_Risk_Register.xlsx via the</t>
  </si>
  <si>
    <t xml:space="preserve">'Related Control' column, and to procedures in 05_Incident_Response_Playbook.docx and</t>
  </si>
  <si>
    <t xml:space="preserve">06_Business_Continuity_DR_Summary.docx where relevant.</t>
  </si>
  <si>
    <t xml:space="preserve">Clause</t>
  </si>
  <si>
    <t xml:space="preserve">Theme</t>
  </si>
  <si>
    <t xml:space="preserve">Control</t>
  </si>
  <si>
    <t xml:space="preserve">Current State Evidence</t>
  </si>
  <si>
    <t xml:space="preserve">Status</t>
  </si>
  <si>
    <t xml:space="preserve">Gap / Action Required</t>
  </si>
  <si>
    <t xml:space="preserve">Priority</t>
  </si>
  <si>
    <t xml:space="preserve">Owner</t>
  </si>
  <si>
    <t xml:space="preserve">Target Date</t>
  </si>
  <si>
    <t xml:space="preserve">A.5.1</t>
  </si>
  <si>
    <t xml:space="preserve">Organisational</t>
  </si>
  <si>
    <t xml:space="preserve">Policies for information security</t>
  </si>
  <si>
    <t xml:space="preserve">Draft Information Security Policy exists, approved by IT Manager only.</t>
  </si>
  <si>
    <t xml:space="preserve">Partially Implemented</t>
  </si>
  <si>
    <t xml:space="preserve">Obtain formal Hospital Board / CEO sign-off; schedule annual policy review cycle.</t>
  </si>
  <si>
    <t xml:space="preserve">High</t>
  </si>
  <si>
    <t xml:space="preserve">CIO</t>
  </si>
  <si>
    <t xml:space="preserve">2026-10-31</t>
  </si>
  <si>
    <t xml:space="preserve">A.5.9</t>
  </si>
  <si>
    <t xml:space="preserve">Inventory of information and other associated assets</t>
  </si>
  <si>
    <t xml:space="preserve">Server and workstation asset register maintained in spreadsheet; biomedical devices tracked separately by Biomedical Engineering with inconsistent detail.</t>
  </si>
  <si>
    <t xml:space="preserve">Consolidate IT and biomedical asset registers into a single CMDB; include firmware/OS version per device.</t>
  </si>
  <si>
    <t xml:space="preserve">IT Manager</t>
  </si>
  <si>
    <t xml:space="preserve">2026-11-30</t>
  </si>
  <si>
    <t xml:space="preserve">A.5.15</t>
  </si>
  <si>
    <t xml:space="preserve">Access control</t>
  </si>
  <si>
    <t xml:space="preserve">Role-based access control (RBAC) implemented on the EHR with ward-level restrictions; access reviews are ad hoc rather than scheduled.</t>
  </si>
  <si>
    <t xml:space="preserve">Implement quarterly formal access recertification signed off by ward managers.</t>
  </si>
  <si>
    <t xml:space="preserve">Information Officer</t>
  </si>
  <si>
    <t xml:space="preserve">2026-10-15</t>
  </si>
  <si>
    <t xml:space="preserve">A.5.19</t>
  </si>
  <si>
    <t xml:space="preserve">Information security in supplier relationships</t>
  </si>
  <si>
    <t xml:space="preserve">LIS integration vendor contract has an SLA but no security schedule or breach notification clause.</t>
  </si>
  <si>
    <t xml:space="preserve">Not Implemented</t>
  </si>
  <si>
    <t xml:space="preserve">Add security and breach-notification clauses at next contract renewal; request current vendor security certification.</t>
  </si>
  <si>
    <t xml:space="preserve">Medium</t>
  </si>
  <si>
    <t xml:space="preserve">Head of Laboratory Services</t>
  </si>
  <si>
    <t xml:space="preserve">2027-02-28</t>
  </si>
  <si>
    <t xml:space="preserve">A.5.24</t>
  </si>
  <si>
    <t xml:space="preserve">Information security incident management planning</t>
  </si>
  <si>
    <t xml:space="preserve">Incident Response Playbook drafted covering ransomware and medical device compromise scenarios; not yet tested via tabletop exercise.</t>
  </si>
  <si>
    <t xml:space="preserve">Run a tabletop exercise with IT, Clinical Governance, and Communications; update playbook based on findings.</t>
  </si>
  <si>
    <t xml:space="preserve">2026-09-30</t>
  </si>
  <si>
    <t xml:space="preserve">A.5.29</t>
  </si>
  <si>
    <t xml:space="preserve">Information security during disruption</t>
  </si>
  <si>
    <t xml:space="preserve">Downtime procedures documented for nursing stations; generator and UPS in place for critical systems.</t>
  </si>
  <si>
    <t xml:space="preserve">Extend server-room UPS runtime; conduct an annual full-facility failover drill.</t>
  </si>
  <si>
    <t xml:space="preserve">Facilities Manager</t>
  </si>
  <si>
    <t xml:space="preserve">2026-12-15</t>
  </si>
  <si>
    <t xml:space="preserve">A.5.34</t>
  </si>
  <si>
    <t xml:space="preserve">Privacy and protection of PII</t>
  </si>
  <si>
    <t xml:space="preserve">POPIA Compliance Assessment completed identifying gaps in breach notification and retention/disposal for paper records.</t>
  </si>
  <si>
    <t xml:space="preserve">Close out actions in POPIA Compliance Assessment Sections 5 and 7.</t>
  </si>
  <si>
    <t xml:space="preserve">A.6.3</t>
  </si>
  <si>
    <t xml:space="preserve">People</t>
  </si>
  <si>
    <t xml:space="preserve">Information security awareness, education and training</t>
  </si>
  <si>
    <t xml:space="preserve">Annual POPIA awareness training delivered to clinical staff; no dedicated phishing simulation programme.</t>
  </si>
  <si>
    <t xml:space="preserve">Introduce quarterly phishing simulations with follow-up micro-training for staff who click.</t>
  </si>
  <si>
    <t xml:space="preserve">HR Manager / IT Manager</t>
  </si>
  <si>
    <t xml:space="preserve">2027-01-31</t>
  </si>
  <si>
    <t xml:space="preserve">A.6.6</t>
  </si>
  <si>
    <t xml:space="preserve">Confidentiality or non-disclosure agreements</t>
  </si>
  <si>
    <t xml:space="preserve">Confidentiality undertakings signed at onboarding; no periodic re-signing.</t>
  </si>
  <si>
    <t xml:space="preserve">Introduce mandatory annual re-signing tied to performance review cycle.</t>
  </si>
  <si>
    <t xml:space="preserve">Low</t>
  </si>
  <si>
    <t xml:space="preserve">HR Manager</t>
  </si>
  <si>
    <t xml:space="preserve">2027-03-31</t>
  </si>
  <si>
    <t xml:space="preserve">A.7.2</t>
  </si>
  <si>
    <t xml:space="preserve">Physical</t>
  </si>
  <si>
    <t xml:space="preserve">Physical entry</t>
  </si>
  <si>
    <t xml:space="preserve">Server room badge access with logging; general ward areas have reception-controlled entry only.</t>
  </si>
  <si>
    <t xml:space="preserve">Extend badge-access logging review to monthly; add dual-authorisation for server room after-hours entry.</t>
  </si>
  <si>
    <t xml:space="preserve">A.7.4</t>
  </si>
  <si>
    <t xml:space="preserve">Physical security monitoring</t>
  </si>
  <si>
    <t xml:space="preserve">CCTV covers server room entrance and main hospital entrances; ward corridors have partial coverage.</t>
  </si>
  <si>
    <t xml:space="preserve">Extend CCTV coverage to biomedical device storage areas; retain footage for 90 days minimum.</t>
  </si>
  <si>
    <t xml:space="preserve">2027-04-30</t>
  </si>
  <si>
    <t xml:space="preserve">A.8.1</t>
  </si>
  <si>
    <t xml:space="preserve">Technological</t>
  </si>
  <si>
    <t xml:space="preserve">User endpoint devices</t>
  </si>
  <si>
    <t xml:space="preserve">Screen auto-lock (5 min) enforced via group policy on clinical workstations.</t>
  </si>
  <si>
    <t xml:space="preserve">Implemented</t>
  </si>
  <si>
    <t xml:space="preserve">Reduce timeout to 2 minutes on shared nursing-station terminals.</t>
  </si>
  <si>
    <t xml:space="preserve">A.8.3</t>
  </si>
  <si>
    <t xml:space="preserve">Information access restriction</t>
  </si>
  <si>
    <t xml:space="preserve">EHR access restricted by role and ward; audit logging enabled but not routinely reviewed.</t>
  </si>
  <si>
    <t xml:space="preserve">Implement automated alerting for anomalous access patterns (bulk exports, VIP records).</t>
  </si>
  <si>
    <t xml:space="preserve">A.8.8</t>
  </si>
  <si>
    <t xml:space="preserve">Management of technical vulnerabilities</t>
  </si>
  <si>
    <t xml:space="preserve">No formal vulnerability scanning programme for clinical network; ad hoc patching.</t>
  </si>
  <si>
    <t xml:space="preserve">Stand up a quarterly vulnerability scanning programme for clinical and biomedical VLANs, with a documented patching SLA.</t>
  </si>
  <si>
    <t xml:space="preserve">A.8.9</t>
  </si>
  <si>
    <t xml:space="preserve">Configuration management</t>
  </si>
  <si>
    <t xml:space="preserve">No documented secure baseline configuration for clinical workstations or medical devices.</t>
  </si>
  <si>
    <t xml:space="preserve">Define and apply secure baseline configurations; document deviations for legacy medical devices with compensating controls.</t>
  </si>
  <si>
    <t xml:space="preserve">IT Manager / Biomedical Engineering Lead</t>
  </si>
  <si>
    <t xml:space="preserve">2026-12-31</t>
  </si>
  <si>
    <t xml:space="preserve">A.8.13</t>
  </si>
  <si>
    <t xml:space="preserve">Information backup</t>
  </si>
  <si>
    <t xml:space="preserve">Nightly backups of EHR database; offline copy exists but not fully air-gapped or immutable.</t>
  </si>
  <si>
    <t xml:space="preserve">Implement an immutable, air-gapped backup copy and test full restoration quarterly.</t>
  </si>
  <si>
    <t xml:space="preserve">A.8.16</t>
  </si>
  <si>
    <t xml:space="preserve">Monitoring activities</t>
  </si>
  <si>
    <t xml:space="preserve">No centralised security monitoring (SIEM) across clinical and corporate networks.</t>
  </si>
  <si>
    <t xml:space="preserve">Evaluate a managed SIEM/SOC service appropriate to a public-hospital budget; prioritise clinical network coverage first.</t>
  </si>
  <si>
    <t xml:space="preserve">2027-06-30</t>
  </si>
  <si>
    <t xml:space="preserve">A.8.20</t>
  </si>
  <si>
    <t xml:space="preserve">Networks security</t>
  </si>
  <si>
    <t xml:space="preserve">Clinical network segmented from corporate network; biomedical devices on a dedicated VLAN with firewall rules.</t>
  </si>
  <si>
    <t xml:space="preserve">Review firewall rule set annually; document rule justifications.</t>
  </si>
  <si>
    <t xml:space="preserve">A.8.22</t>
  </si>
  <si>
    <t xml:space="preserve">Segregation of networks</t>
  </si>
  <si>
    <t xml:space="preserve">Biomedical VLAN isolated from general clinical VLAN; some legacy devices found bridged during last informal review.</t>
  </si>
  <si>
    <t xml:space="preserve">Complete a full network audit to identify and remediate any bridged/misconfigured devices.</t>
  </si>
  <si>
    <t xml:space="preserve">A.8.24</t>
  </si>
  <si>
    <t xml:space="preserve">Use of cryptography</t>
  </si>
  <si>
    <t xml:space="preserve">Database-level encryption enabled for EHR at rest; encryption in transit inconsistent across legacy interfaces (e.g. older LIS connections).</t>
  </si>
  <si>
    <t xml:space="preserve">Enforce TLS on all clinical system interfaces; retire or isolate interfaces that cannot support it.</t>
  </si>
  <si>
    <t xml:space="preserve">A.8.32</t>
  </si>
  <si>
    <t xml:space="preserve">Change management</t>
  </si>
  <si>
    <t xml:space="preserve">Change advisory board (CAB) covers major EHR/PACS changes; minor/urgent patches applied outside the process.</t>
  </si>
  <si>
    <t xml:space="preserve">Extend CAB scope to all clinical-system changes, including emergency patches, with a documented rollback plan requirement.</t>
  </si>
  <si>
    <t xml:space="preserve">Gap Assessment Summary</t>
  </si>
  <si>
    <t xml:space="preserve">Count</t>
  </si>
  <si>
    <t xml:space="preserve">Total controls assessed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</si>
</sst>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84"/>
        <bgColor rgb="FFFFCC99"/>
      </patternFill>
    </fill>
    <fill>
      <patternFill patternType="solid">
        <fgColor rgb="FFF8696B"/>
        <bgColor rgb="FFFF6600"/>
      </patternFill>
    </fill>
    <fill>
      <patternFill patternType="solid">
        <fgColor rgb="FF63BE7B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2" customFormat="false" ht="60" hidden="false" customHeight="true" outlineLevel="0" collapsed="false">
      <c r="A2" s="5" t="s">
        <v>24</v>
      </c>
      <c r="B2" s="5" t="s">
        <v>25</v>
      </c>
      <c r="C2" s="6" t="s">
        <v>26</v>
      </c>
      <c r="D2" s="6" t="s">
        <v>27</v>
      </c>
      <c r="E2" s="7" t="s">
        <v>28</v>
      </c>
      <c r="F2" s="6" t="s">
        <v>29</v>
      </c>
      <c r="G2" s="5" t="s">
        <v>30</v>
      </c>
      <c r="H2" s="6" t="s">
        <v>31</v>
      </c>
      <c r="I2" s="5" t="s">
        <v>32</v>
      </c>
    </row>
    <row r="3" customFormat="false" ht="60" hidden="false" customHeight="true" outlineLevel="0" collapsed="false">
      <c r="A3" s="5" t="s">
        <v>33</v>
      </c>
      <c r="B3" s="5" t="s">
        <v>25</v>
      </c>
      <c r="C3" s="6" t="s">
        <v>34</v>
      </c>
      <c r="D3" s="6" t="s">
        <v>35</v>
      </c>
      <c r="E3" s="7" t="s">
        <v>28</v>
      </c>
      <c r="F3" s="6" t="s">
        <v>36</v>
      </c>
      <c r="G3" s="5" t="s">
        <v>30</v>
      </c>
      <c r="H3" s="6" t="s">
        <v>37</v>
      </c>
      <c r="I3" s="5" t="s">
        <v>38</v>
      </c>
    </row>
    <row r="4" customFormat="false" ht="60" hidden="false" customHeight="true" outlineLevel="0" collapsed="false">
      <c r="A4" s="5" t="s">
        <v>39</v>
      </c>
      <c r="B4" s="5" t="s">
        <v>25</v>
      </c>
      <c r="C4" s="6" t="s">
        <v>40</v>
      </c>
      <c r="D4" s="6" t="s">
        <v>41</v>
      </c>
      <c r="E4" s="7" t="s">
        <v>28</v>
      </c>
      <c r="F4" s="6" t="s">
        <v>42</v>
      </c>
      <c r="G4" s="5" t="s">
        <v>30</v>
      </c>
      <c r="H4" s="6" t="s">
        <v>43</v>
      </c>
      <c r="I4" s="5" t="s">
        <v>44</v>
      </c>
    </row>
    <row r="5" customFormat="false" ht="60" hidden="false" customHeight="true" outlineLevel="0" collapsed="false">
      <c r="A5" s="5" t="s">
        <v>45</v>
      </c>
      <c r="B5" s="5" t="s">
        <v>25</v>
      </c>
      <c r="C5" s="6" t="s">
        <v>46</v>
      </c>
      <c r="D5" s="6" t="s">
        <v>47</v>
      </c>
      <c r="E5" s="8" t="s">
        <v>48</v>
      </c>
      <c r="F5" s="6" t="s">
        <v>49</v>
      </c>
      <c r="G5" s="5" t="s">
        <v>50</v>
      </c>
      <c r="H5" s="6" t="s">
        <v>51</v>
      </c>
      <c r="I5" s="5" t="s">
        <v>52</v>
      </c>
    </row>
    <row r="6" customFormat="false" ht="60" hidden="false" customHeight="true" outlineLevel="0" collapsed="false">
      <c r="A6" s="5" t="s">
        <v>53</v>
      </c>
      <c r="B6" s="5" t="s">
        <v>25</v>
      </c>
      <c r="C6" s="6" t="s">
        <v>54</v>
      </c>
      <c r="D6" s="6" t="s">
        <v>55</v>
      </c>
      <c r="E6" s="7" t="s">
        <v>28</v>
      </c>
      <c r="F6" s="6" t="s">
        <v>56</v>
      </c>
      <c r="G6" s="5" t="s">
        <v>30</v>
      </c>
      <c r="H6" s="6" t="s">
        <v>37</v>
      </c>
      <c r="I6" s="5" t="s">
        <v>57</v>
      </c>
    </row>
    <row r="7" customFormat="false" ht="60" hidden="false" customHeight="true" outlineLevel="0" collapsed="false">
      <c r="A7" s="5" t="s">
        <v>58</v>
      </c>
      <c r="B7" s="5" t="s">
        <v>25</v>
      </c>
      <c r="C7" s="6" t="s">
        <v>59</v>
      </c>
      <c r="D7" s="6" t="s">
        <v>60</v>
      </c>
      <c r="E7" s="7" t="s">
        <v>28</v>
      </c>
      <c r="F7" s="6" t="s">
        <v>61</v>
      </c>
      <c r="G7" s="5" t="s">
        <v>30</v>
      </c>
      <c r="H7" s="6" t="s">
        <v>62</v>
      </c>
      <c r="I7" s="5" t="s">
        <v>63</v>
      </c>
    </row>
    <row r="8" customFormat="false" ht="60" hidden="false" customHeight="true" outlineLevel="0" collapsed="false">
      <c r="A8" s="5" t="s">
        <v>64</v>
      </c>
      <c r="B8" s="5" t="s">
        <v>25</v>
      </c>
      <c r="C8" s="6" t="s">
        <v>65</v>
      </c>
      <c r="D8" s="6" t="s">
        <v>66</v>
      </c>
      <c r="E8" s="7" t="s">
        <v>28</v>
      </c>
      <c r="F8" s="6" t="s">
        <v>67</v>
      </c>
      <c r="G8" s="5" t="s">
        <v>30</v>
      </c>
      <c r="H8" s="6" t="s">
        <v>43</v>
      </c>
      <c r="I8" s="5" t="s">
        <v>38</v>
      </c>
    </row>
    <row r="9" customFormat="false" ht="60" hidden="false" customHeight="true" outlineLevel="0" collapsed="false">
      <c r="A9" s="5" t="s">
        <v>68</v>
      </c>
      <c r="B9" s="5" t="s">
        <v>69</v>
      </c>
      <c r="C9" s="6" t="s">
        <v>70</v>
      </c>
      <c r="D9" s="6" t="s">
        <v>71</v>
      </c>
      <c r="E9" s="7" t="s">
        <v>28</v>
      </c>
      <c r="F9" s="6" t="s">
        <v>72</v>
      </c>
      <c r="G9" s="5" t="s">
        <v>50</v>
      </c>
      <c r="H9" s="6" t="s">
        <v>73</v>
      </c>
      <c r="I9" s="5" t="s">
        <v>74</v>
      </c>
    </row>
    <row r="10" customFormat="false" ht="60" hidden="false" customHeight="true" outlineLevel="0" collapsed="false">
      <c r="A10" s="5" t="s">
        <v>75</v>
      </c>
      <c r="B10" s="5" t="s">
        <v>69</v>
      </c>
      <c r="C10" s="6" t="s">
        <v>76</v>
      </c>
      <c r="D10" s="6" t="s">
        <v>77</v>
      </c>
      <c r="E10" s="7" t="s">
        <v>28</v>
      </c>
      <c r="F10" s="6" t="s">
        <v>78</v>
      </c>
      <c r="G10" s="5" t="s">
        <v>79</v>
      </c>
      <c r="H10" s="6" t="s">
        <v>80</v>
      </c>
      <c r="I10" s="5" t="s">
        <v>81</v>
      </c>
    </row>
    <row r="11" customFormat="false" ht="60" hidden="false" customHeight="true" outlineLevel="0" collapsed="false">
      <c r="A11" s="5" t="s">
        <v>82</v>
      </c>
      <c r="B11" s="5" t="s">
        <v>83</v>
      </c>
      <c r="C11" s="6" t="s">
        <v>84</v>
      </c>
      <c r="D11" s="6" t="s">
        <v>85</v>
      </c>
      <c r="E11" s="7" t="s">
        <v>28</v>
      </c>
      <c r="F11" s="6" t="s">
        <v>86</v>
      </c>
      <c r="G11" s="5" t="s">
        <v>50</v>
      </c>
      <c r="H11" s="6" t="s">
        <v>62</v>
      </c>
      <c r="I11" s="5" t="s">
        <v>74</v>
      </c>
    </row>
    <row r="12" customFormat="false" ht="60" hidden="false" customHeight="true" outlineLevel="0" collapsed="false">
      <c r="A12" s="5" t="s">
        <v>87</v>
      </c>
      <c r="B12" s="5" t="s">
        <v>83</v>
      </c>
      <c r="C12" s="6" t="s">
        <v>88</v>
      </c>
      <c r="D12" s="6" t="s">
        <v>89</v>
      </c>
      <c r="E12" s="7" t="s">
        <v>28</v>
      </c>
      <c r="F12" s="6" t="s">
        <v>90</v>
      </c>
      <c r="G12" s="5" t="s">
        <v>79</v>
      </c>
      <c r="H12" s="6" t="s">
        <v>62</v>
      </c>
      <c r="I12" s="5" t="s">
        <v>91</v>
      </c>
    </row>
    <row r="13" customFormat="false" ht="60" hidden="false" customHeight="true" outlineLevel="0" collapsed="false">
      <c r="A13" s="5" t="s">
        <v>92</v>
      </c>
      <c r="B13" s="5" t="s">
        <v>93</v>
      </c>
      <c r="C13" s="6" t="s">
        <v>94</v>
      </c>
      <c r="D13" s="6" t="s">
        <v>95</v>
      </c>
      <c r="E13" s="9" t="s">
        <v>96</v>
      </c>
      <c r="F13" s="6" t="s">
        <v>97</v>
      </c>
      <c r="G13" s="5" t="s">
        <v>79</v>
      </c>
      <c r="H13" s="6" t="s">
        <v>37</v>
      </c>
      <c r="I13" s="5" t="s">
        <v>52</v>
      </c>
    </row>
    <row r="14" customFormat="false" ht="60" hidden="false" customHeight="true" outlineLevel="0" collapsed="false">
      <c r="A14" s="5" t="s">
        <v>98</v>
      </c>
      <c r="B14" s="5" t="s">
        <v>93</v>
      </c>
      <c r="C14" s="6" t="s">
        <v>99</v>
      </c>
      <c r="D14" s="6" t="s">
        <v>100</v>
      </c>
      <c r="E14" s="7" t="s">
        <v>28</v>
      </c>
      <c r="F14" s="6" t="s">
        <v>101</v>
      </c>
      <c r="G14" s="5" t="s">
        <v>30</v>
      </c>
      <c r="H14" s="6" t="s">
        <v>43</v>
      </c>
      <c r="I14" s="5" t="s">
        <v>32</v>
      </c>
    </row>
    <row r="15" customFormat="false" ht="60" hidden="false" customHeight="true" outlineLevel="0" collapsed="false">
      <c r="A15" s="5" t="s">
        <v>102</v>
      </c>
      <c r="B15" s="5" t="s">
        <v>93</v>
      </c>
      <c r="C15" s="6" t="s">
        <v>103</v>
      </c>
      <c r="D15" s="6" t="s">
        <v>104</v>
      </c>
      <c r="E15" s="8" t="s">
        <v>48</v>
      </c>
      <c r="F15" s="6" t="s">
        <v>105</v>
      </c>
      <c r="G15" s="5" t="s">
        <v>30</v>
      </c>
      <c r="H15" s="6" t="s">
        <v>37</v>
      </c>
      <c r="I15" s="5" t="s">
        <v>57</v>
      </c>
    </row>
    <row r="16" customFormat="false" ht="60" hidden="false" customHeight="true" outlineLevel="0" collapsed="false">
      <c r="A16" s="5" t="s">
        <v>106</v>
      </c>
      <c r="B16" s="5" t="s">
        <v>93</v>
      </c>
      <c r="C16" s="6" t="s">
        <v>107</v>
      </c>
      <c r="D16" s="6" t="s">
        <v>108</v>
      </c>
      <c r="E16" s="8" t="s">
        <v>48</v>
      </c>
      <c r="F16" s="6" t="s">
        <v>109</v>
      </c>
      <c r="G16" s="5" t="s">
        <v>30</v>
      </c>
      <c r="H16" s="6" t="s">
        <v>110</v>
      </c>
      <c r="I16" s="5" t="s">
        <v>111</v>
      </c>
    </row>
    <row r="17" customFormat="false" ht="60" hidden="false" customHeight="true" outlineLevel="0" collapsed="false">
      <c r="A17" s="5" t="s">
        <v>112</v>
      </c>
      <c r="B17" s="5" t="s">
        <v>93</v>
      </c>
      <c r="C17" s="6" t="s">
        <v>113</v>
      </c>
      <c r="D17" s="6" t="s">
        <v>114</v>
      </c>
      <c r="E17" s="7" t="s">
        <v>28</v>
      </c>
      <c r="F17" s="6" t="s">
        <v>115</v>
      </c>
      <c r="G17" s="5" t="s">
        <v>30</v>
      </c>
      <c r="H17" s="6" t="s">
        <v>37</v>
      </c>
      <c r="I17" s="5" t="s">
        <v>32</v>
      </c>
    </row>
    <row r="18" customFormat="false" ht="60" hidden="false" customHeight="true" outlineLevel="0" collapsed="false">
      <c r="A18" s="5" t="s">
        <v>116</v>
      </c>
      <c r="B18" s="5" t="s">
        <v>93</v>
      </c>
      <c r="C18" s="6" t="s">
        <v>117</v>
      </c>
      <c r="D18" s="6" t="s">
        <v>118</v>
      </c>
      <c r="E18" s="8" t="s">
        <v>48</v>
      </c>
      <c r="F18" s="6" t="s">
        <v>119</v>
      </c>
      <c r="G18" s="5" t="s">
        <v>50</v>
      </c>
      <c r="H18" s="6" t="s">
        <v>31</v>
      </c>
      <c r="I18" s="5" t="s">
        <v>120</v>
      </c>
    </row>
    <row r="19" customFormat="false" ht="60" hidden="false" customHeight="true" outlineLevel="0" collapsed="false">
      <c r="A19" s="5" t="s">
        <v>121</v>
      </c>
      <c r="B19" s="5" t="s">
        <v>93</v>
      </c>
      <c r="C19" s="6" t="s">
        <v>122</v>
      </c>
      <c r="D19" s="6" t="s">
        <v>123</v>
      </c>
      <c r="E19" s="9" t="s">
        <v>96</v>
      </c>
      <c r="F19" s="6" t="s">
        <v>124</v>
      </c>
      <c r="G19" s="5" t="s">
        <v>50</v>
      </c>
      <c r="H19" s="6" t="s">
        <v>37</v>
      </c>
      <c r="I19" s="5" t="s">
        <v>81</v>
      </c>
    </row>
    <row r="20" customFormat="false" ht="60" hidden="false" customHeight="true" outlineLevel="0" collapsed="false">
      <c r="A20" s="5" t="s">
        <v>125</v>
      </c>
      <c r="B20" s="5" t="s">
        <v>93</v>
      </c>
      <c r="C20" s="6" t="s">
        <v>126</v>
      </c>
      <c r="D20" s="6" t="s">
        <v>127</v>
      </c>
      <c r="E20" s="7" t="s">
        <v>28</v>
      </c>
      <c r="F20" s="6" t="s">
        <v>128</v>
      </c>
      <c r="G20" s="5" t="s">
        <v>30</v>
      </c>
      <c r="H20" s="6" t="s">
        <v>37</v>
      </c>
      <c r="I20" s="5" t="s">
        <v>57</v>
      </c>
    </row>
    <row r="21" customFormat="false" ht="60" hidden="false" customHeight="true" outlineLevel="0" collapsed="false">
      <c r="A21" s="5" t="s">
        <v>129</v>
      </c>
      <c r="B21" s="5" t="s">
        <v>93</v>
      </c>
      <c r="C21" s="6" t="s">
        <v>130</v>
      </c>
      <c r="D21" s="6" t="s">
        <v>131</v>
      </c>
      <c r="E21" s="7" t="s">
        <v>28</v>
      </c>
      <c r="F21" s="6" t="s">
        <v>132</v>
      </c>
      <c r="G21" s="5" t="s">
        <v>50</v>
      </c>
      <c r="H21" s="6" t="s">
        <v>37</v>
      </c>
      <c r="I21" s="5" t="s">
        <v>52</v>
      </c>
    </row>
    <row r="22" customFormat="false" ht="60" hidden="false" customHeight="true" outlineLevel="0" collapsed="false">
      <c r="A22" s="5" t="s">
        <v>133</v>
      </c>
      <c r="B22" s="5" t="s">
        <v>93</v>
      </c>
      <c r="C22" s="6" t="s">
        <v>134</v>
      </c>
      <c r="D22" s="6" t="s">
        <v>135</v>
      </c>
      <c r="E22" s="7" t="s">
        <v>28</v>
      </c>
      <c r="F22" s="6" t="s">
        <v>136</v>
      </c>
      <c r="G22" s="5" t="s">
        <v>50</v>
      </c>
      <c r="H22" s="6" t="s">
        <v>37</v>
      </c>
      <c r="I22" s="5" t="s">
        <v>74</v>
      </c>
    </row>
  </sheetData>
  <dataValidations count="2">
    <dataValidation allowBlank="true" errorStyle="stop" operator="between" showDropDown="false" showErrorMessage="false" showInputMessage="false" sqref="E2:E22" type="list">
      <formula1>"Implemented,Partially Implemented,Not Implemented"</formula1>
      <formula2>0</formula2>
    </dataValidation>
    <dataValidation allowBlank="true" errorStyle="stop" operator="between" showDropDown="false" showErrorMessage="false" showInputMessage="false" sqref="G2:G2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6.15" hidden="false" customHeight="false" outlineLevel="0" collapsed="false">
      <c r="A1" s="10" t="s">
        <v>137</v>
      </c>
    </row>
    <row r="3" customFormat="false" ht="15" hidden="false" customHeight="false" outlineLevel="0" collapsed="false">
      <c r="A3" s="11" t="s">
        <v>19</v>
      </c>
      <c r="B3" s="11" t="s">
        <v>138</v>
      </c>
    </row>
    <row r="4" customFormat="false" ht="15" hidden="false" customHeight="false" outlineLevel="0" collapsed="false">
      <c r="A4" s="12" t="s">
        <v>96</v>
      </c>
      <c r="B4" s="13" t="n">
        <f aca="false">COUNTIF('Gap Assessment'!E2:E22,A4)</f>
        <v>2</v>
      </c>
    </row>
    <row r="5" customFormat="false" ht="15" hidden="false" customHeight="false" outlineLevel="0" collapsed="false">
      <c r="A5" s="12" t="s">
        <v>28</v>
      </c>
      <c r="B5" s="14" t="n">
        <f aca="false">COUNTIF('Gap Assessment'!E2:E22,A5)</f>
        <v>15</v>
      </c>
    </row>
    <row r="6" customFormat="false" ht="15" hidden="false" customHeight="false" outlineLevel="0" collapsed="false">
      <c r="A6" s="12" t="s">
        <v>48</v>
      </c>
      <c r="B6" s="15" t="n">
        <f aca="false">COUNTIF('Gap Assessment'!E2:E22,A6)</f>
        <v>4</v>
      </c>
    </row>
    <row r="7" customFormat="false" ht="15" hidden="false" customHeight="false" outlineLevel="0" collapsed="false">
      <c r="A7" s="16" t="s">
        <v>139</v>
      </c>
      <c r="B7" s="16" t="n">
        <f aca="false">SUM(B4:B6)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2026-08-20T01:46:33Z</dcterms:created>
  <dc:creator>openpyxl</dc:creator>
  <dc:description/>
  <dc:language>en-US</dc:language>
  <cp:lastModifiedBy/>
  <dcterms:modified xsi:type="dcterms:W3CDTF">2026-08-20T01:46:33Z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